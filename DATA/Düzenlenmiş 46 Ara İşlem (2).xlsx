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siz halini ver bana e tablo" sheetId="1" r:id="rId4"/>
  </sheets>
  <definedNames/>
  <calcPr/>
</workbook>
</file>

<file path=xl/sharedStrings.xml><?xml version="1.0" encoding="utf-8"?>
<sst xmlns="http://schemas.openxmlformats.org/spreadsheetml/2006/main" count="147" uniqueCount="142">
  <si>
    <t>İl Kodu</t>
  </si>
  <si>
    <t>Atık Kodu</t>
  </si>
  <si>
    <t>Atık Tanımı</t>
  </si>
  <si>
    <t>Maliyet Puanı</t>
  </si>
  <si>
    <t>İşlem Tipi (1/0)</t>
  </si>
  <si>
    <t>Uygulanan Ara İşlem / Ön İşlem ve Detaylı Yönetim Yöntemi</t>
  </si>
  <si>
    <t>Kaynak Kılavuz (Sayfa / Kurum)</t>
  </si>
  <si>
    <t>Toplam Ton (tüm yıllar)</t>
  </si>
  <si>
    <t>Dip külü, cüruf ve kazan tozu</t>
  </si>
  <si>
    <t>Stabilizasyon ve zenginleştirme; çimento ve yol inşaatında hammadde katkısı (R5) olarak kullanım.</t>
  </si>
  <si>
    <t>Termik Santraller (50)</t>
  </si>
  <si>
    <t>Kentsel atıksu arıtma çamurları</t>
  </si>
  <si>
    <t>R12/D9: Mekanik susuzlaştırma, kireçleme ve kurutma. Tarımsal kullanım (R10) veya yakma (D10).</t>
  </si>
  <si>
    <t>Tekstil Sektörü (71)</t>
  </si>
  <si>
    <t>Tehlikeli madde içeren döküm kalıpları</t>
  </si>
  <si>
    <t>R12/R5: Mekanik veya termal kum rejenerasyonu ile kumun dökümhanede tekrar kullanımı.</t>
  </si>
  <si>
    <t>Döküm Sektörü (23)</t>
  </si>
  <si>
    <t>Diğer cüruflar (demir dışı metalürji)</t>
  </si>
  <si>
    <t>Kırma ve eleme sonrası metal içeriğine göre ikincil metalurjik işlemlere (R4) gönderim.</t>
  </si>
  <si>
    <t>Demir Çelik Kılavuzu (48)</t>
  </si>
  <si>
    <t>Atık katkı maddeleri (plastik/kauçuk)</t>
  </si>
  <si>
    <t>Tehlike içeriğine göre fiziksel-kimyasal arıtma (D9) veya yakma (D10).</t>
  </si>
  <si>
    <t>Org. Bitki Koruma (51)</t>
  </si>
  <si>
    <t>Tehlikesiz döküm kalıp/maça</t>
  </si>
  <si>
    <t>Mekanik parçalama ve eleme ile kumun geri kazanımı ve tekrar kullanımı.</t>
  </si>
  <si>
    <t>Döküm Sektörü (24)</t>
  </si>
  <si>
    <t>Fiziksel/kimyasal işlem çamurları</t>
  </si>
  <si>
    <t>Susuzlaştırma, kurutma ve stabilizasyon sonrası düzenli depolama (D5).</t>
  </si>
  <si>
    <t>Deri Sektörü (38)</t>
  </si>
  <si>
    <t>Kum tutuculardan çıkan atıklar</t>
  </si>
  <si>
    <t>Yıkama ve mekanik ayırma sonrası tehlikesiz atık depolama tesislerine gönderim.</t>
  </si>
  <si>
    <t>Ağaç ve Mobilya (94)</t>
  </si>
  <si>
    <t>Ergitme cürufları</t>
  </si>
  <si>
    <t>Metalurjik zenginleştirme ve hammadde olarak geri kazanım (R4).</t>
  </si>
  <si>
    <t>Izgara atıkları</t>
  </si>
  <si>
    <t>Mekanik ayırma ve susuzlaştırma sonrası düzenli depolama veya yakma.</t>
  </si>
  <si>
    <t>Tekstil Sektörü (135)</t>
  </si>
  <si>
    <t>İkincil üretim tuz cürufları</t>
  </si>
  <si>
    <t>Özel tesislerde tuzun geri kazanılması ve bakiye oksitlerin değerlendirilmesi.</t>
  </si>
  <si>
    <t>Alüminyum Üretimi (77)</t>
  </si>
  <si>
    <t>Alüminyum üretiminden tozlar</t>
  </si>
  <si>
    <t>Torba filtrelerde toplama ve briketleme sonrası tekrar ergitme ocağına besleme.</t>
  </si>
  <si>
    <t>İkincil üretim siyah cüruflar</t>
  </si>
  <si>
    <t>Metalik alüminyumun ayrıştırılması için mekanik zenginleştirme işlemleri.</t>
  </si>
  <si>
    <t>Tehlikeli kirlenmiş emiciler/bezler</t>
  </si>
  <si>
    <t>R1/D10: Yüksek kalorifik değer nedeniyle enerji geri kazanımı amaçlı yakma.</t>
  </si>
  <si>
    <t>Petrol Rafinasyonu (36)</t>
  </si>
  <si>
    <t>Tekstil ürünleri (ayrı toplanmış)</t>
  </si>
  <si>
    <t>Sınıflandırma ve temizleme sonrası tekrar kullanım veya elyaf geri kazanımı.</t>
  </si>
  <si>
    <t>Tekstil Sektörü (140)</t>
  </si>
  <si>
    <t>Karışık belediye atıkları</t>
  </si>
  <si>
    <t>Mekanik-Biyolojik İşlem (MBİ) ile ayırma ve bakiye atıkların depolanması.</t>
  </si>
  <si>
    <t>Termik Santraller (32)</t>
  </si>
  <si>
    <t>Kurşun üretiminden kaynaklanan cüruflar</t>
  </si>
  <si>
    <t>Ağır metal stabilizasyonu ve metalürjik zenginleştirme (R4)</t>
  </si>
  <si>
    <t>Metalürji Sektör Rehberi</t>
  </si>
  <si>
    <t>Tehlikeli durulama suları</t>
  </si>
  <si>
    <t>D9: Nötralizasyon, iyon değişimi ve ağır metal çöktürme işlemleri.</t>
  </si>
  <si>
    <t>Galvaniz Kaplama (72)</t>
  </si>
  <si>
    <t>Mekanik işleme diğer atıklar</t>
  </si>
  <si>
    <t>Boyut küçültme ve ayırma sonrası Atıktan Türetilmiş Yakıt (ATY) üretimi.</t>
  </si>
  <si>
    <t>T.A. Sınıflandırma-2 (142)</t>
  </si>
  <si>
    <t>Halojen içermeyen emülsiyonlar</t>
  </si>
  <si>
    <t>Ultrafiltrasyon veya santrifüj ile yağ ve su fazlarının ayrılması (ara işlem).</t>
  </si>
  <si>
    <t>Metal Sektörü (34)</t>
  </si>
  <si>
    <t>Tehlikeli madde kalıntılı ambalaj</t>
  </si>
  <si>
    <t>R12: Solvent veya su ile yıkama (dekontaminasyon) ve geri kazanım.</t>
  </si>
  <si>
    <t>Boya Üretimi (34)</t>
  </si>
  <si>
    <t>Boya/vernik içeren sulu çamurlar</t>
  </si>
  <si>
    <t>D9: Koagülasyon ve susuzlaştırma sonrası yakma veya depolama.</t>
  </si>
  <si>
    <t>Boyama-Vernikleme (18)</t>
  </si>
  <si>
    <t>Atık boya ve vernikler</t>
  </si>
  <si>
    <t>Solvent geri kazanımı (R2) veya yakma tesislerinde bertaraf (D10).</t>
  </si>
  <si>
    <t>Boya Üretimi (22)</t>
  </si>
  <si>
    <t>Tehlikeli talaş ve yongalar</t>
  </si>
  <si>
    <t>Tehlikeli maddeler içeren talaş, yonga, kıymık vb. (M) için yönetim yöntemleri.</t>
  </si>
  <si>
    <t>Ağaç ve Mobilya (23)</t>
  </si>
  <si>
    <t>Aşındırma (kumlama) atıkları</t>
  </si>
  <si>
    <t>Eleme ve temizleme sonrası tekrar kullanım; ağır metal içeriğine göre depolama.</t>
  </si>
  <si>
    <t>Metal Sektörü (14)</t>
  </si>
  <si>
    <t>Atık yapıştırıcı ve macunlar</t>
  </si>
  <si>
    <t>Fiziksel-kimyasal işlem (D9) veya yakma tesislerinde bertaraf (D10).</t>
  </si>
  <si>
    <t>TKSD Kimya Rehberi</t>
  </si>
  <si>
    <t>Cüruf işleme atıkları</t>
  </si>
  <si>
    <t>Kırma ve manyetik ayırma ile demir içeriğinin geri kazanımı.</t>
  </si>
  <si>
    <t>DÇÜD Kılavuzu</t>
  </si>
  <si>
    <t>Plastikler (belediye atığı)</t>
  </si>
  <si>
    <t>Kaynakta ayırma ve mekanik geri dönüşüm ile hammadde üretimi.</t>
  </si>
  <si>
    <t>Sıfır Atık Portalı</t>
  </si>
  <si>
    <t>Tehlikeli baca gazı tozları</t>
  </si>
  <si>
    <t>Briketleme sonrası ikincil alüminyum fırınlarına geri besleme.</t>
  </si>
  <si>
    <t>TALSAD Rehberi</t>
  </si>
  <si>
    <t>Tehlikeli organik atıklar</t>
  </si>
  <si>
    <t>D10: Yüksek sıcaklıkta yakma tesislerinde bertaraf.</t>
  </si>
  <si>
    <t>İZAYDAŞ Rehberi</t>
  </si>
  <si>
    <t>Karışık ambalajlar</t>
  </si>
  <si>
    <t>Ambalaj atığı ayırma tesislerinde (TAT) türlerine göre tasnif.</t>
  </si>
  <si>
    <t>ÇEVKO Rehber</t>
  </si>
  <si>
    <t>Asbest içeren yalıtım</t>
  </si>
  <si>
    <t>Ara işlem uygulanmaz; sızdırmaz paketleme ile hücreli depolama (D5).</t>
  </si>
  <si>
    <t>T.A. Sınıflandırma-2 (110)</t>
  </si>
  <si>
    <t>Tehlikesiz talaş ve yonga</t>
  </si>
  <si>
    <t>Sunta/lif levha üretimi veya biyokütle yakıtı olarak kullanım.</t>
  </si>
  <si>
    <t>Atık plastik (plastik üretimi)</t>
  </si>
  <si>
    <t>Kırma ve ekstrüzyon ile ikincil hammadde üretimi (R3).</t>
  </si>
  <si>
    <t>Petrokimya Kılavuzu (40)</t>
  </si>
  <si>
    <t>Fosfatlama çamurları</t>
  </si>
  <si>
    <t>D9: Kimyasal çöktürme ve susuzlaştırma sonrası depolama.</t>
  </si>
  <si>
    <t>Boyama-Vernikleme (19)</t>
  </si>
  <si>
    <t>Tehlikeli madde içeren çamur</t>
  </si>
  <si>
    <t>Stabilizasyon/solidifikasyon sonrası tehlikeli atık depolama (D5).</t>
  </si>
  <si>
    <t>ÇEVKO Teknik</t>
  </si>
  <si>
    <t>Tehlikeli baca gazı tozu</t>
  </si>
  <si>
    <t>Torba filtrelerden toplama ve briketleme ile geri kazanım.</t>
  </si>
  <si>
    <t>TÜDOKSAD Rehber</t>
  </si>
  <si>
    <t>Tehlikeli döküm kalıpları</t>
  </si>
  <si>
    <t>Reçine ayırma ve kumun termal rejenerasyonu.</t>
  </si>
  <si>
    <t>TÜDOKSAD</t>
  </si>
  <si>
    <t>Yalıtım malzemeleri</t>
  </si>
  <si>
    <t>Tehlikesiz atık depolama tesislerine doğrudan gönderim.</t>
  </si>
  <si>
    <t>CSB Rehberi</t>
  </si>
  <si>
    <t>Yağ filtreleri</t>
  </si>
  <si>
    <t>Kırma ve santrifüj ile yağın ayrılması; metal ve kağıt geri kazanımı.</t>
  </si>
  <si>
    <t>Otomotiv Sanayi (41)</t>
  </si>
  <si>
    <t>Atık mum ve yağlar</t>
  </si>
  <si>
    <t>Kullanılmış (mum) parafin ve yağlar.</t>
  </si>
  <si>
    <t>Ni-Cd piller</t>
  </si>
  <si>
    <t>R4: Parçalama ve hidrometalurjik yöntemlerle kadmiyum geri kazanımı.</t>
  </si>
  <si>
    <t>Oto Tamirhaneleri (31)</t>
  </si>
  <si>
    <t>Piller ve aküler</t>
  </si>
  <si>
    <t>R12: Türlerine göre (Li-ion, Ni-Cd vb.) ayırma ve ileri geri kazanım.</t>
  </si>
  <si>
    <t>Boya Üretimi (36)</t>
  </si>
  <si>
    <t>Diğer pil ve aküler</t>
  </si>
  <si>
    <t>Mekanik ayırma ile metalik bileşenlerin geri kazanımı.</t>
  </si>
  <si>
    <t>TAP Derneği</t>
  </si>
  <si>
    <t>Boya/vernik sökme atıkları</t>
  </si>
  <si>
    <t>Solvent geri kazanımı ve fiziksel-kimyasal arıtma işlemleri.</t>
  </si>
  <si>
    <t>BOSAD Rehber</t>
  </si>
  <si>
    <t>Alkalin piller</t>
  </si>
  <si>
    <t>Mekanik kırma ve çinko-manganez içeriğinin ayrıştırılması.</t>
  </si>
  <si>
    <t>TAP Portalı</t>
  </si>
  <si>
    <t>Yıl Bazlı Toplam Atık Miktarı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</si>
</sst>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vertical="top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13"/>
    <col customWidth="1" min="4" max="4" width="23.25"/>
    <col customWidth="1" min="6" max="6" width="67.13"/>
    <col customWidth="1" min="7" max="7" width="39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>
        <v>2017.0</v>
      </c>
      <c r="I1" s="3">
        <v>2018.0</v>
      </c>
      <c r="J1" s="3">
        <v>2019.0</v>
      </c>
      <c r="K1" s="3">
        <v>2020.0</v>
      </c>
      <c r="L1" s="3">
        <v>2021.0</v>
      </c>
      <c r="M1" s="3">
        <v>2022.0</v>
      </c>
      <c r="N1" s="3" t="s">
        <v>7</v>
      </c>
      <c r="O1" s="4"/>
    </row>
    <row r="2">
      <c r="A2" s="1">
        <v>6.0</v>
      </c>
      <c r="B2" s="1">
        <v>100101.0</v>
      </c>
      <c r="C2" s="1" t="s">
        <v>8</v>
      </c>
      <c r="D2" s="5">
        <v>3.0</v>
      </c>
      <c r="E2" s="1">
        <v>1.0</v>
      </c>
      <c r="F2" s="1" t="s">
        <v>9</v>
      </c>
      <c r="G2" s="1" t="s">
        <v>10</v>
      </c>
      <c r="H2" s="6">
        <v>1364.91</v>
      </c>
      <c r="I2" s="6">
        <v>55.06</v>
      </c>
      <c r="J2" s="6">
        <v>512563.4</v>
      </c>
      <c r="K2" s="6">
        <v>355066.85</v>
      </c>
      <c r="L2" s="6">
        <v>254558.96</v>
      </c>
      <c r="M2" s="6">
        <v>265765.92</v>
      </c>
      <c r="N2" s="6">
        <v>1389375.1</v>
      </c>
      <c r="O2" s="4"/>
    </row>
    <row r="3">
      <c r="A3" s="1">
        <v>6.0</v>
      </c>
      <c r="B3" s="1">
        <v>190805.0</v>
      </c>
      <c r="C3" s="1" t="s">
        <v>11</v>
      </c>
      <c r="D3" s="5">
        <v>5.0</v>
      </c>
      <c r="E3" s="1">
        <v>1.0</v>
      </c>
      <c r="F3" s="1" t="s">
        <v>12</v>
      </c>
      <c r="G3" s="1" t="s">
        <v>13</v>
      </c>
      <c r="H3" s="6">
        <v>81559.054</v>
      </c>
      <c r="I3" s="6">
        <v>71095.205</v>
      </c>
      <c r="J3" s="6">
        <v>90728.476</v>
      </c>
      <c r="K3" s="6">
        <v>84799.26</v>
      </c>
      <c r="L3" s="6">
        <v>103317.503</v>
      </c>
      <c r="M3" s="6">
        <v>84895.602</v>
      </c>
      <c r="N3" s="6">
        <v>516395.1</v>
      </c>
      <c r="O3" s="4"/>
    </row>
    <row r="4">
      <c r="A4" s="1">
        <v>6.0</v>
      </c>
      <c r="B4" s="1">
        <v>100908.0</v>
      </c>
      <c r="C4" s="1" t="s">
        <v>14</v>
      </c>
      <c r="D4" s="5">
        <v>5.0</v>
      </c>
      <c r="E4" s="1">
        <v>1.0</v>
      </c>
      <c r="F4" s="1" t="s">
        <v>15</v>
      </c>
      <c r="G4" s="1" t="s">
        <v>16</v>
      </c>
      <c r="H4" s="6">
        <v>13223.103</v>
      </c>
      <c r="I4" s="6">
        <v>10119.45</v>
      </c>
      <c r="J4" s="6">
        <v>50461.921</v>
      </c>
      <c r="K4" s="6">
        <v>45562.924</v>
      </c>
      <c r="L4" s="6">
        <v>66238.928</v>
      </c>
      <c r="M4" s="6">
        <v>59224.486</v>
      </c>
      <c r="N4" s="6">
        <v>244830.812</v>
      </c>
      <c r="O4" s="4"/>
    </row>
    <row r="5">
      <c r="A5" s="1">
        <v>6.0</v>
      </c>
      <c r="B5" s="1">
        <v>100809.0</v>
      </c>
      <c r="C5" s="1" t="s">
        <v>17</v>
      </c>
      <c r="D5" s="5">
        <v>2.0</v>
      </c>
      <c r="E5" s="1">
        <v>1.0</v>
      </c>
      <c r="F5" s="1" t="s">
        <v>18</v>
      </c>
      <c r="G5" s="1" t="s">
        <v>19</v>
      </c>
      <c r="H5" s="6">
        <v>5492.86</v>
      </c>
      <c r="I5" s="6">
        <v>7699.81</v>
      </c>
      <c r="J5" s="6">
        <v>10281.8</v>
      </c>
      <c r="K5" s="6">
        <v>27326.877</v>
      </c>
      <c r="L5" s="6">
        <v>9139.03</v>
      </c>
      <c r="M5" s="6">
        <v>9233.53</v>
      </c>
      <c r="N5" s="6">
        <v>69173.907</v>
      </c>
      <c r="O5" s="4"/>
    </row>
    <row r="6">
      <c r="A6" s="1">
        <v>6.0</v>
      </c>
      <c r="B6" s="1">
        <v>70215.0</v>
      </c>
      <c r="C6" s="1" t="s">
        <v>20</v>
      </c>
      <c r="D6" s="5">
        <v>5.0</v>
      </c>
      <c r="E6" s="1">
        <v>1.0</v>
      </c>
      <c r="F6" s="1" t="s">
        <v>21</v>
      </c>
      <c r="G6" s="1" t="s">
        <v>22</v>
      </c>
      <c r="H6" s="6">
        <v>7859.17</v>
      </c>
      <c r="I6" s="6">
        <v>14596.7</v>
      </c>
      <c r="J6" s="6">
        <v>8682.62</v>
      </c>
      <c r="K6" s="6">
        <v>8025.96</v>
      </c>
      <c r="L6" s="6">
        <v>10270.27</v>
      </c>
      <c r="M6" s="6">
        <v>4903.1</v>
      </c>
      <c r="N6" s="6">
        <v>54337.82</v>
      </c>
      <c r="O6" s="4"/>
    </row>
    <row r="7">
      <c r="A7" s="1">
        <v>6.0</v>
      </c>
      <c r="B7" s="1">
        <v>100910.0</v>
      </c>
      <c r="C7" s="1" t="s">
        <v>23</v>
      </c>
      <c r="D7" s="5">
        <v>2.0</v>
      </c>
      <c r="E7" s="1">
        <v>1.0</v>
      </c>
      <c r="F7" s="1" t="s">
        <v>24</v>
      </c>
      <c r="G7" s="1" t="s">
        <v>25</v>
      </c>
      <c r="H7" s="6">
        <v>10162.403</v>
      </c>
      <c r="I7" s="6">
        <v>5821.871</v>
      </c>
      <c r="J7" s="6">
        <v>1236.244</v>
      </c>
      <c r="K7" s="6">
        <v>1140.07</v>
      </c>
      <c r="L7" s="6">
        <v>3902.239</v>
      </c>
      <c r="M7" s="6">
        <v>12264.726</v>
      </c>
      <c r="N7" s="6">
        <v>34527.553</v>
      </c>
      <c r="O7" s="4"/>
    </row>
    <row r="8">
      <c r="A8" s="1">
        <v>6.0</v>
      </c>
      <c r="B8" s="1">
        <v>190205.0</v>
      </c>
      <c r="C8" s="1" t="s">
        <v>26</v>
      </c>
      <c r="D8" s="5">
        <v>3.0</v>
      </c>
      <c r="E8" s="1">
        <v>1.0</v>
      </c>
      <c r="F8" s="1" t="s">
        <v>27</v>
      </c>
      <c r="G8" s="1" t="s">
        <v>28</v>
      </c>
      <c r="H8" s="6">
        <v>501.135</v>
      </c>
      <c r="I8" s="6">
        <v>812.02</v>
      </c>
      <c r="J8" s="6">
        <v>743.26</v>
      </c>
      <c r="K8" s="6">
        <v>597.75</v>
      </c>
      <c r="L8" s="6">
        <v>73.89</v>
      </c>
      <c r="M8" s="6">
        <v>17218.565</v>
      </c>
      <c r="N8" s="6">
        <v>19946.62</v>
      </c>
      <c r="O8" s="4"/>
    </row>
    <row r="9">
      <c r="A9" s="1">
        <v>6.0</v>
      </c>
      <c r="B9" s="1">
        <v>190802.0</v>
      </c>
      <c r="C9" s="1" t="s">
        <v>29</v>
      </c>
      <c r="D9" s="5">
        <v>2.0</v>
      </c>
      <c r="E9" s="1">
        <v>1.0</v>
      </c>
      <c r="F9" s="1" t="s">
        <v>30</v>
      </c>
      <c r="G9" s="1" t="s">
        <v>31</v>
      </c>
      <c r="H9" s="6">
        <v>5368.564</v>
      </c>
      <c r="I9" s="6">
        <v>1885.501</v>
      </c>
      <c r="J9" s="6">
        <v>2406.73</v>
      </c>
      <c r="K9" s="6">
        <v>1359.819</v>
      </c>
      <c r="L9" s="6">
        <v>1856.243</v>
      </c>
      <c r="M9" s="6">
        <v>2161.889</v>
      </c>
      <c r="N9" s="6">
        <v>15038.746</v>
      </c>
      <c r="O9" s="4"/>
    </row>
    <row r="10">
      <c r="A10" s="1">
        <v>6.0</v>
      </c>
      <c r="B10" s="1">
        <v>100903.0</v>
      </c>
      <c r="C10" s="1" t="s">
        <v>32</v>
      </c>
      <c r="D10" s="5">
        <v>3.0</v>
      </c>
      <c r="E10" s="1">
        <v>1.0</v>
      </c>
      <c r="F10" s="1" t="s">
        <v>33</v>
      </c>
      <c r="G10" s="1" t="s">
        <v>16</v>
      </c>
      <c r="H10" s="6">
        <v>550.713</v>
      </c>
      <c r="I10" s="6">
        <v>714.645</v>
      </c>
      <c r="J10" s="6">
        <v>1259.84</v>
      </c>
      <c r="K10" s="6">
        <v>1910.196</v>
      </c>
      <c r="L10" s="6">
        <v>3709.563</v>
      </c>
      <c r="M10" s="6">
        <v>4747.089</v>
      </c>
      <c r="N10" s="6">
        <v>12892.046</v>
      </c>
      <c r="O10" s="4"/>
    </row>
    <row r="11">
      <c r="A11" s="1">
        <v>6.0</v>
      </c>
      <c r="B11" s="1">
        <v>190801.0</v>
      </c>
      <c r="C11" s="1" t="s">
        <v>34</v>
      </c>
      <c r="D11" s="5">
        <v>5.0</v>
      </c>
      <c r="E11" s="1">
        <v>1.0</v>
      </c>
      <c r="F11" s="1" t="s">
        <v>35</v>
      </c>
      <c r="G11" s="1" t="s">
        <v>36</v>
      </c>
      <c r="H11" s="6">
        <v>3063.778</v>
      </c>
      <c r="I11" s="6">
        <v>1714.62</v>
      </c>
      <c r="J11" s="6">
        <v>1525.151</v>
      </c>
      <c r="K11" s="6">
        <v>1433.8</v>
      </c>
      <c r="L11" s="6">
        <v>1706.056</v>
      </c>
      <c r="M11" s="6">
        <v>1340.995</v>
      </c>
      <c r="N11" s="6">
        <v>10784.4</v>
      </c>
      <c r="O11" s="4"/>
    </row>
    <row r="12">
      <c r="A12" s="1">
        <v>6.0</v>
      </c>
      <c r="B12" s="1">
        <v>100308.0</v>
      </c>
      <c r="C12" s="1" t="s">
        <v>37</v>
      </c>
      <c r="D12" s="5">
        <v>3.0</v>
      </c>
      <c r="E12" s="1">
        <v>1.0</v>
      </c>
      <c r="F12" s="1" t="s">
        <v>38</v>
      </c>
      <c r="G12" s="1" t="s">
        <v>39</v>
      </c>
      <c r="H12" s="6">
        <v>227.76</v>
      </c>
      <c r="I12" s="6">
        <v>763.38</v>
      </c>
      <c r="J12" s="6">
        <v>811.42</v>
      </c>
      <c r="K12" s="6">
        <v>1096.26</v>
      </c>
      <c r="L12" s="6">
        <v>1387.11</v>
      </c>
      <c r="M12" s="6">
        <v>1361.75</v>
      </c>
      <c r="N12" s="6">
        <v>5647.68</v>
      </c>
      <c r="O12" s="4"/>
    </row>
    <row r="13">
      <c r="A13" s="1">
        <v>6.0</v>
      </c>
      <c r="B13" s="1">
        <v>100321.0</v>
      </c>
      <c r="C13" s="1" t="s">
        <v>40</v>
      </c>
      <c r="D13" s="5">
        <v>2.0</v>
      </c>
      <c r="E13" s="1">
        <v>1.0</v>
      </c>
      <c r="F13" s="1" t="s">
        <v>41</v>
      </c>
      <c r="G13" s="1" t="s">
        <v>39</v>
      </c>
      <c r="H13" s="6">
        <v>327.22</v>
      </c>
      <c r="I13" s="6">
        <v>123.58</v>
      </c>
      <c r="J13" s="6">
        <v>423.865</v>
      </c>
      <c r="K13" s="6">
        <v>84.791</v>
      </c>
      <c r="L13" s="6">
        <v>1005.383</v>
      </c>
      <c r="M13" s="6">
        <v>3073.465</v>
      </c>
      <c r="N13" s="6">
        <v>5038.304</v>
      </c>
      <c r="O13" s="4"/>
    </row>
    <row r="14">
      <c r="A14" s="1">
        <v>6.0</v>
      </c>
      <c r="B14" s="1">
        <v>100309.0</v>
      </c>
      <c r="C14" s="1" t="s">
        <v>42</v>
      </c>
      <c r="D14" s="5">
        <v>3.0</v>
      </c>
      <c r="E14" s="1">
        <v>1.0</v>
      </c>
      <c r="F14" s="1" t="s">
        <v>43</v>
      </c>
      <c r="G14" s="1" t="s">
        <v>39</v>
      </c>
      <c r="H14" s="6">
        <v>492.97</v>
      </c>
      <c r="I14" s="6">
        <v>1437.358</v>
      </c>
      <c r="J14" s="6">
        <v>468.54</v>
      </c>
      <c r="K14" s="6">
        <v>113.54</v>
      </c>
      <c r="L14" s="6">
        <v>969.891</v>
      </c>
      <c r="M14" s="6">
        <v>995.93</v>
      </c>
      <c r="N14" s="6">
        <v>4478.229</v>
      </c>
      <c r="O14" s="4"/>
    </row>
    <row r="15">
      <c r="A15" s="1">
        <v>6.0</v>
      </c>
      <c r="B15" s="1">
        <v>150202.0</v>
      </c>
      <c r="C15" s="1" t="s">
        <v>44</v>
      </c>
      <c r="D15" s="5">
        <v>5.0</v>
      </c>
      <c r="E15" s="1">
        <v>0.0</v>
      </c>
      <c r="F15" s="1" t="s">
        <v>45</v>
      </c>
      <c r="G15" s="1" t="s">
        <v>46</v>
      </c>
      <c r="H15" s="6">
        <v>665.165</v>
      </c>
      <c r="I15" s="6">
        <v>730.231</v>
      </c>
      <c r="J15" s="6">
        <v>292.117</v>
      </c>
      <c r="K15" s="6">
        <v>506.844</v>
      </c>
      <c r="L15" s="6">
        <v>723.067</v>
      </c>
      <c r="M15" s="6">
        <v>1164.607</v>
      </c>
      <c r="N15" s="6">
        <v>4082.031</v>
      </c>
      <c r="O15" s="4"/>
    </row>
    <row r="16">
      <c r="A16" s="1">
        <v>6.0</v>
      </c>
      <c r="B16" s="1">
        <v>200111.0</v>
      </c>
      <c r="C16" s="1" t="s">
        <v>47</v>
      </c>
      <c r="D16" s="5">
        <v>2.0</v>
      </c>
      <c r="E16" s="1">
        <v>1.0</v>
      </c>
      <c r="F16" s="1" t="s">
        <v>48</v>
      </c>
      <c r="G16" s="1" t="s">
        <v>49</v>
      </c>
      <c r="H16" s="6">
        <v>43.23</v>
      </c>
      <c r="I16" s="6">
        <v>32.631</v>
      </c>
      <c r="J16" s="6">
        <v>18.86</v>
      </c>
      <c r="K16" s="6">
        <v>1066.68</v>
      </c>
      <c r="L16" s="6">
        <v>1280.558</v>
      </c>
      <c r="M16" s="6">
        <v>1153.27</v>
      </c>
      <c r="N16" s="6">
        <v>3595.229</v>
      </c>
      <c r="O16" s="4"/>
    </row>
    <row r="17">
      <c r="A17" s="1">
        <v>6.0</v>
      </c>
      <c r="B17" s="1">
        <v>200301.0</v>
      </c>
      <c r="C17" s="1" t="s">
        <v>50</v>
      </c>
      <c r="D17" s="5">
        <v>3.0</v>
      </c>
      <c r="E17" s="1">
        <v>1.0</v>
      </c>
      <c r="F17" s="1" t="s">
        <v>51</v>
      </c>
      <c r="G17" s="1" t="s">
        <v>52</v>
      </c>
      <c r="H17" s="6">
        <v>48.32</v>
      </c>
      <c r="I17" s="6">
        <v>375.22</v>
      </c>
      <c r="J17" s="6">
        <v>736.28</v>
      </c>
      <c r="K17" s="6">
        <v>708.26</v>
      </c>
      <c r="L17" s="6">
        <v>625.06</v>
      </c>
      <c r="M17" s="6">
        <v>525.95</v>
      </c>
      <c r="N17" s="6">
        <v>3019.09</v>
      </c>
      <c r="O17" s="4"/>
    </row>
    <row r="18">
      <c r="A18" s="1">
        <v>6.0</v>
      </c>
      <c r="B18" s="1">
        <v>100401.0</v>
      </c>
      <c r="C18" s="1" t="s">
        <v>53</v>
      </c>
      <c r="D18" s="5">
        <v>3.0</v>
      </c>
      <c r="E18" s="1">
        <v>1.0</v>
      </c>
      <c r="F18" s="1" t="s">
        <v>54</v>
      </c>
      <c r="G18" s="1" t="s">
        <v>55</v>
      </c>
      <c r="H18" s="6">
        <v>208.16</v>
      </c>
      <c r="I18" s="6">
        <v>788.96</v>
      </c>
      <c r="J18" s="6">
        <v>334.5</v>
      </c>
      <c r="K18" s="6">
        <v>566.0</v>
      </c>
      <c r="L18" s="6">
        <v>505.24</v>
      </c>
      <c r="M18" s="6">
        <v>317.72</v>
      </c>
      <c r="N18" s="6">
        <v>2720.58</v>
      </c>
      <c r="O18" s="4"/>
    </row>
    <row r="19">
      <c r="A19" s="1">
        <v>6.0</v>
      </c>
      <c r="B19" s="1">
        <v>110111.0</v>
      </c>
      <c r="C19" s="1" t="s">
        <v>56</v>
      </c>
      <c r="D19" s="5">
        <v>4.0</v>
      </c>
      <c r="E19" s="1">
        <v>1.0</v>
      </c>
      <c r="F19" s="1" t="s">
        <v>57</v>
      </c>
      <c r="G19" s="1" t="s">
        <v>58</v>
      </c>
      <c r="H19" s="6">
        <v>84.995</v>
      </c>
      <c r="I19" s="6">
        <v>11.94</v>
      </c>
      <c r="J19" s="6">
        <v>123.08</v>
      </c>
      <c r="K19" s="6">
        <v>936.68</v>
      </c>
      <c r="L19" s="6">
        <v>1013.66</v>
      </c>
      <c r="M19" s="6">
        <v>421.998</v>
      </c>
      <c r="N19" s="6">
        <v>2592.353</v>
      </c>
      <c r="O19" s="4"/>
    </row>
    <row r="20">
      <c r="A20" s="1">
        <v>6.0</v>
      </c>
      <c r="B20" s="1">
        <v>191212.0</v>
      </c>
      <c r="C20" s="1" t="s">
        <v>59</v>
      </c>
      <c r="D20" s="5">
        <v>3.0</v>
      </c>
      <c r="E20" s="1">
        <v>1.0</v>
      </c>
      <c r="F20" s="1" t="s">
        <v>60</v>
      </c>
      <c r="G20" s="1" t="s">
        <v>61</v>
      </c>
      <c r="H20" s="6">
        <v>199.44</v>
      </c>
      <c r="I20" s="6">
        <v>145.94</v>
      </c>
      <c r="J20" s="6">
        <v>42.82</v>
      </c>
      <c r="K20" s="6">
        <v>10.88</v>
      </c>
      <c r="L20" s="6">
        <v>132.62</v>
      </c>
      <c r="M20" s="6">
        <v>1825.83</v>
      </c>
      <c r="N20" s="6">
        <v>2357.53</v>
      </c>
      <c r="O20" s="4"/>
    </row>
    <row r="21">
      <c r="A21" s="1">
        <v>6.0</v>
      </c>
      <c r="B21" s="1">
        <v>120109.0</v>
      </c>
      <c r="C21" s="1" t="s">
        <v>62</v>
      </c>
      <c r="D21" s="5">
        <v>3.0</v>
      </c>
      <c r="E21" s="1">
        <v>1.0</v>
      </c>
      <c r="F21" s="1" t="s">
        <v>63</v>
      </c>
      <c r="G21" s="1" t="s">
        <v>64</v>
      </c>
      <c r="H21" s="6">
        <v>1111.11</v>
      </c>
      <c r="I21" s="6">
        <v>169.382</v>
      </c>
      <c r="J21" s="6">
        <v>467.608</v>
      </c>
      <c r="K21" s="6">
        <v>64.97</v>
      </c>
      <c r="L21" s="6">
        <v>105.82</v>
      </c>
      <c r="M21" s="6">
        <v>95.283</v>
      </c>
      <c r="N21" s="6">
        <v>2014.173</v>
      </c>
      <c r="O21" s="4"/>
    </row>
    <row r="22">
      <c r="A22" s="1">
        <v>6.0</v>
      </c>
      <c r="B22" s="1">
        <v>150110.0</v>
      </c>
      <c r="C22" s="1" t="s">
        <v>65</v>
      </c>
      <c r="D22" s="5">
        <v>5.0</v>
      </c>
      <c r="E22" s="1">
        <v>1.0</v>
      </c>
      <c r="F22" s="1" t="s">
        <v>66</v>
      </c>
      <c r="G22" s="1" t="s">
        <v>67</v>
      </c>
      <c r="H22" s="6">
        <v>430.771</v>
      </c>
      <c r="I22" s="6">
        <v>354.308</v>
      </c>
      <c r="J22" s="6">
        <v>254.215</v>
      </c>
      <c r="K22" s="6">
        <v>254.271</v>
      </c>
      <c r="L22" s="6">
        <v>284.247</v>
      </c>
      <c r="M22" s="6">
        <v>310.234</v>
      </c>
      <c r="N22" s="6">
        <v>1888.046</v>
      </c>
      <c r="O22" s="4"/>
    </row>
    <row r="23">
      <c r="A23" s="1">
        <v>6.0</v>
      </c>
      <c r="B23" s="1">
        <v>80113.0</v>
      </c>
      <c r="C23" s="1" t="s">
        <v>68</v>
      </c>
      <c r="D23" s="5">
        <v>5.0</v>
      </c>
      <c r="E23" s="1">
        <v>1.0</v>
      </c>
      <c r="F23" s="1" t="s">
        <v>69</v>
      </c>
      <c r="G23" s="1" t="s">
        <v>70</v>
      </c>
      <c r="H23" s="6">
        <v>320.743</v>
      </c>
      <c r="I23" s="6">
        <v>295.919</v>
      </c>
      <c r="J23" s="6">
        <v>103.4</v>
      </c>
      <c r="K23" s="6">
        <v>181.66</v>
      </c>
      <c r="L23" s="6">
        <v>292.856</v>
      </c>
      <c r="M23" s="6">
        <v>314.177</v>
      </c>
      <c r="N23" s="6">
        <v>1508.755</v>
      </c>
      <c r="O23" s="4"/>
    </row>
    <row r="24">
      <c r="A24" s="1">
        <v>6.0</v>
      </c>
      <c r="B24" s="1">
        <v>80111.0</v>
      </c>
      <c r="C24" s="1" t="s">
        <v>71</v>
      </c>
      <c r="D24" s="5">
        <v>5.0</v>
      </c>
      <c r="E24" s="1">
        <v>1.0</v>
      </c>
      <c r="F24" s="1" t="s">
        <v>72</v>
      </c>
      <c r="G24" s="1" t="s">
        <v>73</v>
      </c>
      <c r="H24" s="6">
        <v>589.404</v>
      </c>
      <c r="I24" s="6">
        <v>245.881</v>
      </c>
      <c r="J24" s="6">
        <v>75.775</v>
      </c>
      <c r="K24" s="6">
        <v>75.165</v>
      </c>
      <c r="L24" s="6">
        <v>53.825</v>
      </c>
      <c r="M24" s="6">
        <v>77.788</v>
      </c>
      <c r="N24" s="6">
        <v>1117.838</v>
      </c>
      <c r="O24" s="4"/>
    </row>
    <row r="25">
      <c r="A25" s="1">
        <v>6.0</v>
      </c>
      <c r="B25" s="1">
        <v>30104.0</v>
      </c>
      <c r="C25" s="1" t="s">
        <v>74</v>
      </c>
      <c r="D25" s="5">
        <v>2.0</v>
      </c>
      <c r="E25" s="1">
        <v>1.0</v>
      </c>
      <c r="F25" s="1" t="s">
        <v>75</v>
      </c>
      <c r="G25" s="1" t="s">
        <v>76</v>
      </c>
      <c r="H25" s="6">
        <v>13.431</v>
      </c>
      <c r="I25" s="6">
        <v>579.17</v>
      </c>
      <c r="J25" s="6">
        <v>51.797</v>
      </c>
      <c r="K25" s="6">
        <v>268.94</v>
      </c>
      <c r="L25" s="6">
        <v>96.23</v>
      </c>
      <c r="M25" s="6">
        <v>69.42</v>
      </c>
      <c r="N25" s="6">
        <v>1078.988</v>
      </c>
      <c r="O25" s="4"/>
    </row>
    <row r="26">
      <c r="A26" s="1">
        <v>6.0</v>
      </c>
      <c r="B26" s="1">
        <v>120116.0</v>
      </c>
      <c r="C26" s="1" t="s">
        <v>77</v>
      </c>
      <c r="D26" s="5">
        <v>2.0</v>
      </c>
      <c r="E26" s="1">
        <v>1.0</v>
      </c>
      <c r="F26" s="1" t="s">
        <v>78</v>
      </c>
      <c r="G26" s="1" t="s">
        <v>79</v>
      </c>
      <c r="H26" s="6">
        <v>173.637</v>
      </c>
      <c r="I26" s="6">
        <v>232.738</v>
      </c>
      <c r="J26" s="6">
        <v>112.28</v>
      </c>
      <c r="K26" s="6">
        <v>150.88</v>
      </c>
      <c r="L26" s="6">
        <v>155.48</v>
      </c>
      <c r="M26" s="6">
        <v>215.005</v>
      </c>
      <c r="N26" s="6">
        <v>1040.02</v>
      </c>
      <c r="O26" s="4"/>
    </row>
    <row r="27">
      <c r="A27" s="1">
        <v>6.0</v>
      </c>
      <c r="B27" s="1">
        <v>80409.0</v>
      </c>
      <c r="C27" s="1" t="s">
        <v>80</v>
      </c>
      <c r="D27" s="5">
        <v>5.0</v>
      </c>
      <c r="E27" s="1">
        <v>1.0</v>
      </c>
      <c r="F27" s="1" t="s">
        <v>81</v>
      </c>
      <c r="G27" s="1" t="s">
        <v>82</v>
      </c>
      <c r="H27" s="6">
        <v>286.075</v>
      </c>
      <c r="I27" s="6">
        <v>17.58</v>
      </c>
      <c r="J27" s="6">
        <v>109.69</v>
      </c>
      <c r="K27" s="6">
        <v>212.98</v>
      </c>
      <c r="L27" s="6">
        <v>238.03</v>
      </c>
      <c r="M27" s="6">
        <v>3.537</v>
      </c>
      <c r="N27" s="6">
        <v>867.892</v>
      </c>
      <c r="O27" s="4"/>
    </row>
    <row r="28">
      <c r="A28" s="1">
        <v>6.0</v>
      </c>
      <c r="B28" s="1">
        <v>100201.0</v>
      </c>
      <c r="C28" s="1" t="s">
        <v>83</v>
      </c>
      <c r="D28" s="5">
        <v>2.0</v>
      </c>
      <c r="E28" s="1">
        <v>1.0</v>
      </c>
      <c r="F28" s="1" t="s">
        <v>84</v>
      </c>
      <c r="G28" s="1" t="s">
        <v>85</v>
      </c>
      <c r="H28" s="6">
        <v>54.038</v>
      </c>
      <c r="I28" s="6">
        <v>137.84</v>
      </c>
      <c r="J28" s="6">
        <v>144.249</v>
      </c>
      <c r="K28" s="6">
        <v>131.04</v>
      </c>
      <c r="L28" s="6">
        <v>191.34</v>
      </c>
      <c r="M28" s="6">
        <v>191.17</v>
      </c>
      <c r="N28" s="6">
        <v>849.677</v>
      </c>
      <c r="O28" s="4"/>
    </row>
    <row r="29">
      <c r="A29" s="1">
        <v>6.0</v>
      </c>
      <c r="B29" s="1">
        <v>200139.0</v>
      </c>
      <c r="C29" s="1" t="s">
        <v>86</v>
      </c>
      <c r="D29" s="5">
        <v>2.0</v>
      </c>
      <c r="E29" s="1">
        <v>1.0</v>
      </c>
      <c r="F29" s="1" t="s">
        <v>87</v>
      </c>
      <c r="G29" s="1" t="s">
        <v>88</v>
      </c>
      <c r="H29" s="6">
        <v>375.74</v>
      </c>
      <c r="I29" s="6">
        <v>21.764</v>
      </c>
      <c r="J29" s="6">
        <v>36.739</v>
      </c>
      <c r="K29" s="6">
        <v>2.195</v>
      </c>
      <c r="L29" s="6">
        <v>19.08</v>
      </c>
      <c r="M29" s="6">
        <v>53.16</v>
      </c>
      <c r="N29" s="6">
        <v>508.678</v>
      </c>
      <c r="O29" s="4"/>
    </row>
    <row r="30">
      <c r="A30" s="1">
        <v>6.0</v>
      </c>
      <c r="B30" s="1">
        <v>100319.0</v>
      </c>
      <c r="C30" s="1" t="s">
        <v>89</v>
      </c>
      <c r="D30" s="5">
        <v>2.0</v>
      </c>
      <c r="E30" s="1">
        <v>1.0</v>
      </c>
      <c r="F30" s="1" t="s">
        <v>90</v>
      </c>
      <c r="G30" s="1" t="s">
        <v>91</v>
      </c>
      <c r="H30" s="6">
        <v>60.4</v>
      </c>
      <c r="I30" s="6">
        <v>33.5</v>
      </c>
      <c r="J30" s="6">
        <v>60.31</v>
      </c>
      <c r="K30" s="6">
        <v>38.662</v>
      </c>
      <c r="L30" s="6">
        <v>128.277</v>
      </c>
      <c r="M30" s="6">
        <v>172.415</v>
      </c>
      <c r="N30" s="6">
        <v>493.564</v>
      </c>
      <c r="O30" s="4"/>
    </row>
    <row r="31">
      <c r="A31" s="1">
        <v>6.0</v>
      </c>
      <c r="B31" s="1">
        <v>160305.0</v>
      </c>
      <c r="C31" s="1" t="s">
        <v>92</v>
      </c>
      <c r="D31" s="5">
        <v>5.0</v>
      </c>
      <c r="E31" s="1">
        <v>1.0</v>
      </c>
      <c r="F31" s="1" t="s">
        <v>93</v>
      </c>
      <c r="G31" s="1" t="s">
        <v>94</v>
      </c>
      <c r="H31" s="6">
        <v>58.141</v>
      </c>
      <c r="I31" s="6">
        <v>70.61</v>
      </c>
      <c r="J31" s="6">
        <v>66.917</v>
      </c>
      <c r="K31" s="6">
        <v>113.571</v>
      </c>
      <c r="L31" s="6">
        <v>14.338</v>
      </c>
      <c r="M31" s="6">
        <v>64.995</v>
      </c>
      <c r="N31" s="6">
        <v>388.572</v>
      </c>
      <c r="O31" s="4"/>
    </row>
    <row r="32">
      <c r="A32" s="1">
        <v>6.0</v>
      </c>
      <c r="B32" s="1">
        <v>150106.0</v>
      </c>
      <c r="C32" s="1" t="s">
        <v>95</v>
      </c>
      <c r="D32" s="5">
        <v>2.0</v>
      </c>
      <c r="E32" s="1">
        <v>1.0</v>
      </c>
      <c r="F32" s="1" t="s">
        <v>96</v>
      </c>
      <c r="G32" s="1" t="s">
        <v>97</v>
      </c>
      <c r="H32" s="6">
        <v>58.604</v>
      </c>
      <c r="I32" s="6">
        <v>26.33</v>
      </c>
      <c r="J32" s="6">
        <v>42.466</v>
      </c>
      <c r="K32" s="6">
        <v>83.46</v>
      </c>
      <c r="L32" s="6">
        <v>85.71</v>
      </c>
      <c r="M32" s="6">
        <v>10.76</v>
      </c>
      <c r="N32" s="6">
        <v>307.33</v>
      </c>
      <c r="O32" s="4"/>
    </row>
    <row r="33">
      <c r="A33" s="1">
        <v>6.0</v>
      </c>
      <c r="B33" s="1">
        <v>170603.0</v>
      </c>
      <c r="C33" s="1" t="s">
        <v>98</v>
      </c>
      <c r="D33" s="5">
        <v>1.0</v>
      </c>
      <c r="E33" s="1">
        <v>0.0</v>
      </c>
      <c r="F33" s="1" t="s">
        <v>99</v>
      </c>
      <c r="G33" s="1" t="s">
        <v>100</v>
      </c>
      <c r="H33" s="6">
        <v>26.67</v>
      </c>
      <c r="I33" s="6">
        <v>52.44</v>
      </c>
      <c r="J33" s="6">
        <v>29.65</v>
      </c>
      <c r="K33" s="6">
        <v>12.36</v>
      </c>
      <c r="L33" s="6">
        <v>60.08</v>
      </c>
      <c r="M33" s="6">
        <v>19.48</v>
      </c>
      <c r="N33" s="6">
        <v>200.68</v>
      </c>
      <c r="O33" s="4"/>
    </row>
    <row r="34">
      <c r="A34" s="1">
        <v>6.0</v>
      </c>
      <c r="B34" s="1">
        <v>30105.0</v>
      </c>
      <c r="C34" s="1" t="s">
        <v>101</v>
      </c>
      <c r="D34" s="5">
        <v>1.0</v>
      </c>
      <c r="E34" s="1">
        <v>1.0</v>
      </c>
      <c r="F34" s="1" t="s">
        <v>102</v>
      </c>
      <c r="G34" s="1" t="s">
        <v>76</v>
      </c>
      <c r="H34" s="6">
        <v>28.64</v>
      </c>
      <c r="I34" s="6">
        <v>43.72</v>
      </c>
      <c r="J34" s="6">
        <v>1.05</v>
      </c>
      <c r="K34" s="6">
        <v>6.28</v>
      </c>
      <c r="L34" s="6">
        <v>11.55</v>
      </c>
      <c r="M34" s="6">
        <v>66.6</v>
      </c>
      <c r="N34" s="6">
        <v>157.84</v>
      </c>
      <c r="O34" s="4"/>
    </row>
    <row r="35">
      <c r="A35" s="1">
        <v>6.0</v>
      </c>
      <c r="B35" s="1">
        <v>70213.0</v>
      </c>
      <c r="C35" s="1" t="s">
        <v>103</v>
      </c>
      <c r="D35" s="5">
        <v>2.0</v>
      </c>
      <c r="E35" s="1">
        <v>1.0</v>
      </c>
      <c r="F35" s="1" t="s">
        <v>104</v>
      </c>
      <c r="G35" s="1" t="s">
        <v>105</v>
      </c>
      <c r="H35" s="6">
        <v>30.596</v>
      </c>
      <c r="I35" s="6">
        <v>33.696</v>
      </c>
      <c r="J35" s="6">
        <v>30.996</v>
      </c>
      <c r="K35" s="6">
        <v>6.934</v>
      </c>
      <c r="L35" s="6">
        <v>10.61</v>
      </c>
      <c r="M35" s="6">
        <v>9.61</v>
      </c>
      <c r="N35" s="6">
        <v>122.442</v>
      </c>
      <c r="O35" s="4"/>
    </row>
    <row r="36">
      <c r="A36" s="1">
        <v>6.0</v>
      </c>
      <c r="B36" s="1">
        <v>110108.0</v>
      </c>
      <c r="C36" s="1" t="s">
        <v>106</v>
      </c>
      <c r="D36" s="5">
        <v>3.0</v>
      </c>
      <c r="E36" s="1">
        <v>1.0</v>
      </c>
      <c r="F36" s="1" t="s">
        <v>107</v>
      </c>
      <c r="G36" s="1" t="s">
        <v>108</v>
      </c>
      <c r="H36" s="6">
        <v>12.496</v>
      </c>
      <c r="I36" s="6">
        <v>10.981</v>
      </c>
      <c r="J36" s="6">
        <v>18.81</v>
      </c>
      <c r="K36" s="6">
        <v>30.96</v>
      </c>
      <c r="L36" s="6">
        <v>10.338</v>
      </c>
      <c r="M36" s="6">
        <v>27.506</v>
      </c>
      <c r="N36" s="6">
        <v>111.091</v>
      </c>
      <c r="O36" s="4"/>
    </row>
    <row r="37">
      <c r="A37" s="1">
        <v>6.0</v>
      </c>
      <c r="B37" s="1">
        <v>110109.0</v>
      </c>
      <c r="C37" s="1" t="s">
        <v>109</v>
      </c>
      <c r="D37" s="5">
        <v>3.0</v>
      </c>
      <c r="E37" s="1">
        <v>1.0</v>
      </c>
      <c r="F37" s="1" t="s">
        <v>110</v>
      </c>
      <c r="G37" s="1" t="s">
        <v>111</v>
      </c>
      <c r="H37" s="6">
        <v>21.32</v>
      </c>
      <c r="I37" s="6">
        <v>12.754</v>
      </c>
      <c r="J37" s="6">
        <v>4.0</v>
      </c>
      <c r="K37" s="6">
        <v>0.3</v>
      </c>
      <c r="L37" s="6">
        <v>9.0</v>
      </c>
      <c r="M37" s="6">
        <v>58.86</v>
      </c>
      <c r="N37" s="6">
        <v>106.234</v>
      </c>
      <c r="O37" s="4"/>
    </row>
    <row r="38">
      <c r="A38" s="1">
        <v>6.0</v>
      </c>
      <c r="B38" s="1">
        <v>100915.0</v>
      </c>
      <c r="C38" s="1" t="s">
        <v>112</v>
      </c>
      <c r="D38" s="5">
        <v>2.0</v>
      </c>
      <c r="E38" s="1">
        <v>1.0</v>
      </c>
      <c r="F38" s="1" t="s">
        <v>113</v>
      </c>
      <c r="G38" s="1" t="s">
        <v>114</v>
      </c>
      <c r="H38" s="6">
        <v>13.45</v>
      </c>
      <c r="I38" s="6">
        <v>8.13</v>
      </c>
      <c r="J38" s="6">
        <v>7.9</v>
      </c>
      <c r="K38" s="6">
        <v>14.92</v>
      </c>
      <c r="L38" s="6">
        <v>26.77</v>
      </c>
      <c r="M38" s="6">
        <v>19.1</v>
      </c>
      <c r="N38" s="6">
        <v>90.27</v>
      </c>
      <c r="O38" s="4"/>
    </row>
    <row r="39">
      <c r="A39" s="1">
        <v>6.0</v>
      </c>
      <c r="B39" s="1">
        <v>101006.0</v>
      </c>
      <c r="C39" s="1" t="s">
        <v>115</v>
      </c>
      <c r="D39" s="5">
        <v>5.0</v>
      </c>
      <c r="E39" s="1">
        <v>1.0</v>
      </c>
      <c r="F39" s="1" t="s">
        <v>116</v>
      </c>
      <c r="G39" s="1" t="s">
        <v>117</v>
      </c>
      <c r="H39" s="6">
        <v>10.535</v>
      </c>
      <c r="I39" s="6">
        <v>16.34</v>
      </c>
      <c r="J39" s="6">
        <v>9.74</v>
      </c>
      <c r="K39" s="6">
        <v>17.18</v>
      </c>
      <c r="L39" s="6">
        <v>17.85</v>
      </c>
      <c r="M39" s="6">
        <v>9.97</v>
      </c>
      <c r="N39" s="6">
        <v>81.615</v>
      </c>
      <c r="O39" s="4"/>
    </row>
    <row r="40">
      <c r="A40" s="1">
        <v>6.0</v>
      </c>
      <c r="B40" s="1">
        <v>170604.0</v>
      </c>
      <c r="C40" s="1" t="s">
        <v>118</v>
      </c>
      <c r="D40" s="5">
        <v>1.0</v>
      </c>
      <c r="E40" s="1">
        <v>0.0</v>
      </c>
      <c r="F40" s="1" t="s">
        <v>119</v>
      </c>
      <c r="G40" s="1" t="s">
        <v>120</v>
      </c>
      <c r="H40" s="6">
        <v>0.204</v>
      </c>
      <c r="I40" s="6">
        <v>11.24</v>
      </c>
      <c r="J40" s="6">
        <v>18.38</v>
      </c>
      <c r="K40" s="6">
        <v>6.34</v>
      </c>
      <c r="L40" s="6">
        <v>5.71</v>
      </c>
      <c r="M40" s="6">
        <v>5.13</v>
      </c>
      <c r="N40" s="6">
        <v>47.004</v>
      </c>
      <c r="O40" s="4"/>
    </row>
    <row r="41">
      <c r="A41" s="1">
        <v>6.0</v>
      </c>
      <c r="B41" s="1">
        <v>160107.0</v>
      </c>
      <c r="C41" s="1" t="s">
        <v>121</v>
      </c>
      <c r="D41" s="5">
        <v>3.0</v>
      </c>
      <c r="E41" s="1">
        <v>1.0</v>
      </c>
      <c r="F41" s="1" t="s">
        <v>122</v>
      </c>
      <c r="G41" s="1" t="s">
        <v>123</v>
      </c>
      <c r="H41" s="6">
        <v>15.385</v>
      </c>
      <c r="I41" s="6">
        <v>12.64</v>
      </c>
      <c r="J41" s="6">
        <v>4.326</v>
      </c>
      <c r="K41" s="6">
        <v>4.852</v>
      </c>
      <c r="L41" s="6">
        <v>5.301</v>
      </c>
      <c r="M41" s="6">
        <v>3.798</v>
      </c>
      <c r="N41" s="6">
        <v>46.302</v>
      </c>
      <c r="O41" s="4"/>
    </row>
    <row r="42">
      <c r="A42" s="1">
        <v>6.0</v>
      </c>
      <c r="B42" s="1">
        <v>120112.0</v>
      </c>
      <c r="C42" s="1" t="s">
        <v>124</v>
      </c>
      <c r="D42" s="5">
        <v>2.0</v>
      </c>
      <c r="E42" s="1">
        <v>0.0</v>
      </c>
      <c r="F42" s="1" t="s">
        <v>125</v>
      </c>
      <c r="G42" s="1" t="s">
        <v>79</v>
      </c>
      <c r="H42" s="6">
        <v>4.863</v>
      </c>
      <c r="I42" s="6">
        <v>7.064</v>
      </c>
      <c r="J42" s="6">
        <v>3.366</v>
      </c>
      <c r="K42" s="6">
        <v>0.072</v>
      </c>
      <c r="L42" s="6">
        <v>4.029</v>
      </c>
      <c r="M42" s="6">
        <v>1.199</v>
      </c>
      <c r="N42" s="6">
        <v>20.593</v>
      </c>
      <c r="O42" s="4"/>
    </row>
    <row r="43">
      <c r="A43" s="1">
        <v>6.0</v>
      </c>
      <c r="B43" s="1">
        <v>160602.0</v>
      </c>
      <c r="C43" s="1" t="s">
        <v>126</v>
      </c>
      <c r="D43" s="5">
        <v>5.0</v>
      </c>
      <c r="E43" s="1">
        <v>1.0</v>
      </c>
      <c r="F43" s="1" t="s">
        <v>127</v>
      </c>
      <c r="G43" s="1" t="s">
        <v>128</v>
      </c>
      <c r="H43" s="6">
        <v>9.222</v>
      </c>
      <c r="I43" s="6">
        <v>4.566</v>
      </c>
      <c r="J43" s="6">
        <v>1.208</v>
      </c>
      <c r="K43" s="6">
        <v>0.495</v>
      </c>
      <c r="L43" s="6">
        <v>0.392</v>
      </c>
      <c r="M43" s="6">
        <v>0.494</v>
      </c>
      <c r="N43" s="6">
        <v>16.377</v>
      </c>
      <c r="O43" s="4"/>
    </row>
    <row r="44">
      <c r="A44" s="1">
        <v>6.0</v>
      </c>
      <c r="B44" s="1">
        <v>200133.0</v>
      </c>
      <c r="C44" s="1" t="s">
        <v>129</v>
      </c>
      <c r="D44" s="5">
        <v>5.0</v>
      </c>
      <c r="E44" s="1">
        <v>1.0</v>
      </c>
      <c r="F44" s="1" t="s">
        <v>130</v>
      </c>
      <c r="G44" s="1" t="s">
        <v>131</v>
      </c>
      <c r="H44" s="6">
        <v>2.346</v>
      </c>
      <c r="I44" s="6">
        <v>2.148</v>
      </c>
      <c r="J44" s="6">
        <v>1.413</v>
      </c>
      <c r="K44" s="6">
        <v>2.16</v>
      </c>
      <c r="L44" s="6">
        <v>1.028</v>
      </c>
      <c r="M44" s="6">
        <v>6.08</v>
      </c>
      <c r="N44" s="6">
        <v>15.175</v>
      </c>
      <c r="O44" s="4"/>
    </row>
    <row r="45">
      <c r="A45" s="1">
        <v>6.0</v>
      </c>
      <c r="B45" s="1">
        <v>200134.0</v>
      </c>
      <c r="C45" s="1" t="s">
        <v>132</v>
      </c>
      <c r="D45" s="5">
        <v>2.0</v>
      </c>
      <c r="E45" s="1">
        <v>1.0</v>
      </c>
      <c r="F45" s="1" t="s">
        <v>133</v>
      </c>
      <c r="G45" s="1" t="s">
        <v>134</v>
      </c>
      <c r="H45" s="6">
        <v>0.017</v>
      </c>
      <c r="I45" s="6">
        <v>0.165</v>
      </c>
      <c r="J45" s="6">
        <v>0.534</v>
      </c>
      <c r="K45" s="6">
        <v>0.298</v>
      </c>
      <c r="L45" s="6">
        <v>0.51</v>
      </c>
      <c r="M45" s="6">
        <v>0.067</v>
      </c>
      <c r="N45" s="6">
        <v>1.591</v>
      </c>
      <c r="O45" s="4"/>
    </row>
    <row r="46">
      <c r="A46" s="1">
        <v>6.0</v>
      </c>
      <c r="B46" s="1">
        <v>80117.0</v>
      </c>
      <c r="C46" s="1" t="s">
        <v>135</v>
      </c>
      <c r="D46" s="5">
        <v>4.0</v>
      </c>
      <c r="E46" s="1">
        <v>1.0</v>
      </c>
      <c r="F46" s="1" t="s">
        <v>136</v>
      </c>
      <c r="G46" s="1" t="s">
        <v>137</v>
      </c>
      <c r="H46" s="6">
        <v>0.011</v>
      </c>
      <c r="I46" s="6">
        <v>0.4</v>
      </c>
      <c r="J46" s="6">
        <v>0.2</v>
      </c>
      <c r="K46" s="6">
        <v>0.023</v>
      </c>
      <c r="L46" s="6">
        <v>0.355</v>
      </c>
      <c r="M46" s="6">
        <v>0.325</v>
      </c>
      <c r="N46" s="6">
        <v>1.314</v>
      </c>
      <c r="O46" s="4"/>
    </row>
    <row r="47">
      <c r="A47" s="1">
        <v>6.0</v>
      </c>
      <c r="B47" s="1">
        <v>160604.0</v>
      </c>
      <c r="C47" s="1" t="s">
        <v>138</v>
      </c>
      <c r="D47" s="5">
        <v>2.0</v>
      </c>
      <c r="E47" s="1">
        <v>1.0</v>
      </c>
      <c r="F47" s="1" t="s">
        <v>139</v>
      </c>
      <c r="G47" s="1" t="s">
        <v>140</v>
      </c>
      <c r="H47" s="6">
        <v>0.262</v>
      </c>
      <c r="I47" s="6">
        <v>0.054</v>
      </c>
      <c r="J47" s="6">
        <v>0.049</v>
      </c>
      <c r="K47" s="6">
        <v>0.036</v>
      </c>
      <c r="L47" s="6">
        <v>0.323</v>
      </c>
      <c r="M47" s="6">
        <v>0.152</v>
      </c>
      <c r="N47" s="6">
        <v>0.876</v>
      </c>
      <c r="O47" s="4"/>
    </row>
    <row r="48">
      <c r="A48" s="1">
        <v>6.0</v>
      </c>
      <c r="C48" s="1" t="s">
        <v>141</v>
      </c>
      <c r="D48" s="7"/>
      <c r="H48" s="6">
        <f t="shared" ref="H48:L48" si="1">SUM(H2:H47)</f>
        <v>135151.061</v>
      </c>
      <c r="I48" s="6">
        <f t="shared" si="1"/>
        <v>121325.482</v>
      </c>
      <c r="J48" s="6">
        <f t="shared" si="1"/>
        <v>684797.992</v>
      </c>
      <c r="K48" s="6">
        <f t="shared" si="1"/>
        <v>533994.445</v>
      </c>
      <c r="L48" s="6">
        <f t="shared" si="1"/>
        <v>464244.35</v>
      </c>
      <c r="M48" s="6">
        <f>SUM(M3:M47)</f>
        <v>208636.817</v>
      </c>
      <c r="N48" s="6">
        <f>SUM(N2:N47)</f>
        <v>2413916.067</v>
      </c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1"/>
</worksheet>
</file>